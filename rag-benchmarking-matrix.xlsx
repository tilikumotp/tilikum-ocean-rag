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Raw Data" sheetId="2" state="visible" r:id="rId2"/>
    <sheet xmlns:r="http://schemas.openxmlformats.org/officeDocument/2006/relationships" name="Test Datas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&quot;s&quot;"/>
    <numFmt numFmtId="165" formatCode="0.0%"/>
    <numFmt numFmtId="166" formatCode="0.0&quot;/5&quot;"/>
    <numFmt numFmtId="167" formatCode="0.0000"/>
  </numFmts>
  <fonts count="9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64748b"/>
      <sz val="10"/>
    </font>
    <font>
      <name val="Segoe UI"/>
      <b val="1"/>
      <color rgb="0064748b"/>
      <sz val="9"/>
    </font>
    <font>
      <name val="Segoe UI"/>
      <b val="1"/>
      <color rgb="001E293B"/>
      <sz val="20"/>
    </font>
    <font>
      <name val="Segoe UI"/>
      <b val="1"/>
      <color rgb="001E293B"/>
      <sz val="12"/>
    </font>
    <font>
      <name val="Segoe UI"/>
      <b val="1"/>
      <color rgb="00FFFFFF"/>
      <sz val="11"/>
    </font>
    <font>
      <name val="Segoe UI"/>
      <b val="1"/>
      <color rgb="001E293B"/>
      <sz val="11"/>
    </font>
    <font>
      <name val="Segoe UI"/>
      <color rgb="00334155"/>
      <sz val="11"/>
    </font>
  </fonts>
  <fills count="7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1F5F9"/>
        <bgColor rgb="00F1F5F9"/>
      </patternFill>
    </fill>
    <fill>
      <patternFill patternType="solid">
        <fgColor rgb="002F5496"/>
        <bgColor rgb="002F5496"/>
      </patternFill>
    </fill>
    <fill>
      <patternFill patternType="solid">
        <fgColor rgb="00F8FAFC"/>
        <bgColor rgb="00F8FAFC"/>
      </patternFill>
    </fill>
    <fill>
      <patternFill patternType="solid">
        <fgColor rgb="00DCE6F1"/>
        <bgColor rgb="00DCE6F1"/>
      </patternFill>
    </fill>
  </fills>
  <borders count="5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top style="thin">
        <color rgb="00CBD5E1"/>
      </top>
      <bottom style="medium">
        <color rgb="002F5496"/>
      </bottom>
    </border>
    <border>
      <left style="thin">
        <color rgb="00CBD5E1"/>
      </left>
      <right style="thin">
        <color rgb="00CBD5E1"/>
      </right>
      <bottom style="thin">
        <color rgb="00CBD5E1"/>
      </bottom>
    </border>
    <border>
      <top style="thin">
        <color rgb="00CBD5E1"/>
      </top>
      <bottom style="double">
        <color rgb="001E293B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/>
    </xf>
    <xf numFmtId="0" fontId="0" fillId="0" borderId="1" pivotButton="0" quotePrefix="0" xfId="0"/>
    <xf numFmtId="164" fontId="4" fillId="3" borderId="1" applyAlignment="1" pivotButton="0" quotePrefix="0" xfId="0">
      <alignment horizontal="center" vertical="center"/>
    </xf>
    <xf numFmtId="165" fontId="4" fillId="3" borderId="1" applyAlignment="1" pivotButton="0" quotePrefix="0" xfId="0">
      <alignment horizontal="center" vertical="center"/>
    </xf>
    <xf numFmtId="166" fontId="4" fillId="3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4" borderId="2" applyAlignment="1" pivotButton="0" quotePrefix="0" xfId="0">
      <alignment horizontal="center"/>
    </xf>
    <xf numFmtId="0" fontId="7" fillId="0" borderId="1" pivotButton="0" quotePrefix="0" xfId="0"/>
    <xf numFmtId="3" fontId="8" fillId="0" borderId="1" applyAlignment="1" pivotButton="0" quotePrefix="0" xfId="0">
      <alignment horizontal="center"/>
    </xf>
    <xf numFmtId="164" fontId="8" fillId="0" borderId="1" applyAlignment="1" pivotButton="0" quotePrefix="0" xfId="0">
      <alignment horizontal="center"/>
    </xf>
    <xf numFmtId="166" fontId="8" fillId="0" borderId="1" applyAlignment="1" pivotButton="0" quotePrefix="0" xfId="0">
      <alignment horizontal="center"/>
    </xf>
    <xf numFmtId="0" fontId="7" fillId="5" borderId="1" pivotButton="0" quotePrefix="0" xfId="0"/>
    <xf numFmtId="3" fontId="8" fillId="5" borderId="1" applyAlignment="1" pivotButton="0" quotePrefix="0" xfId="0">
      <alignment horizontal="center"/>
    </xf>
    <xf numFmtId="164" fontId="8" fillId="5" borderId="1" applyAlignment="1" pivotButton="0" quotePrefix="0" xfId="0">
      <alignment horizontal="center"/>
    </xf>
    <xf numFmtId="166" fontId="8" fillId="5" borderId="1" applyAlignment="1" pivotButton="0" quotePrefix="0" xfId="0">
      <alignment horizontal="center"/>
    </xf>
    <xf numFmtId="165" fontId="8" fillId="0" borderId="1" applyAlignment="1" pivotButton="0" quotePrefix="0" xfId="0">
      <alignment horizontal="center"/>
    </xf>
    <xf numFmtId="165" fontId="8" fillId="5" borderId="1" applyAlignment="1" pivotButton="0" quotePrefix="0" xfId="0">
      <alignment horizontal="center"/>
    </xf>
    <xf numFmtId="0" fontId="6" fillId="4" borderId="1" pivotButton="0" quotePrefix="0" xfId="0"/>
    <xf numFmtId="3" fontId="6" fillId="4" borderId="1" applyAlignment="1" pivotButton="0" quotePrefix="0" xfId="0">
      <alignment horizontal="center"/>
    </xf>
    <xf numFmtId="164" fontId="6" fillId="4" borderId="1" applyAlignment="1" pivotButton="0" quotePrefix="0" xfId="0">
      <alignment horizontal="center"/>
    </xf>
    <xf numFmtId="165" fontId="6" fillId="4" borderId="1" applyAlignment="1" pivotButton="0" quotePrefix="0" xfId="0">
      <alignment horizontal="center"/>
    </xf>
    <xf numFmtId="0" fontId="6" fillId="4" borderId="2" applyAlignment="1" pivotButton="0" quotePrefix="0" xfId="0">
      <alignment horizontal="center" vertical="center" wrapText="1"/>
    </xf>
    <xf numFmtId="0" fontId="8" fillId="5" borderId="3" applyAlignment="1" pivotButton="0" quotePrefix="0" xfId="0">
      <alignment horizontal="center" vertical="center"/>
    </xf>
    <xf numFmtId="0" fontId="8" fillId="6" borderId="3" applyAlignment="1" pivotButton="0" quotePrefix="0" xfId="0">
      <alignment horizontal="left" vertical="center"/>
    </xf>
    <xf numFmtId="164" fontId="8" fillId="6" borderId="3" applyAlignment="1" pivotButton="0" quotePrefix="0" xfId="0">
      <alignment horizontal="right" vertical="center"/>
    </xf>
    <xf numFmtId="3" fontId="8" fillId="6" borderId="3" applyAlignment="1" pivotButton="0" quotePrefix="0" xfId="0">
      <alignment horizontal="right" vertical="center"/>
    </xf>
    <xf numFmtId="167" fontId="8" fillId="6" borderId="3" applyAlignment="1" pivotButton="0" quotePrefix="0" xfId="0">
      <alignment horizontal="right" vertical="center"/>
    </xf>
    <xf numFmtId="3" fontId="8" fillId="6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/>
    </xf>
    <xf numFmtId="164" fontId="6" fillId="4" borderId="4" applyAlignment="1" pivotButton="0" quotePrefix="0" xfId="0">
      <alignment horizontal="center"/>
    </xf>
    <xf numFmtId="3" fontId="6" fillId="4" borderId="4" applyAlignment="1" pivotButton="0" quotePrefix="0" xfId="0">
      <alignment horizontal="center"/>
    </xf>
    <xf numFmtId="167" fontId="6" fillId="4" borderId="4" applyAlignment="1" pivotButton="0" quotePrefix="0" xfId="0">
      <alignment horizontal="center"/>
    </xf>
    <xf numFmtId="166" fontId="6" fillId="4" borderId="4" applyAlignment="1" pivotButton="0" quotePrefix="0" xfId="0">
      <alignment horizontal="center"/>
    </xf>
    <xf numFmtId="165" fontId="6" fillId="4" borderId="4" applyAlignment="1" pivotButton="0" quotePrefix="0" xfId="0">
      <alignment horizontal="center"/>
    </xf>
    <xf numFmtId="0" fontId="6" fillId="4" borderId="2" applyAlignment="1" pivotButton="0" quotePrefix="0" xfId="0">
      <alignment horizontal="center" vertical="center"/>
    </xf>
    <xf numFmtId="0" fontId="8" fillId="5" borderId="3" applyAlignment="1" pivotButton="0" quotePrefix="0" xfId="0">
      <alignment horizontal="left" vertical="center" wrapText="1"/>
    </xf>
    <xf numFmtId="0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80" customWidth="1" min="1" max="1"/>
    <col width="17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MAGIBU OCEAN AI WORKSTATION - BENCHMARK REPORT</t>
        </is>
      </c>
    </row>
    <row r="2"/>
    <row r="3">
      <c r="A3" s="2" t="inlineStr">
        <is>
          <t>Generated: 2026-08-26 | Model: v11 (Hybrid RAG + Tool Calling + Code Sandbox)</t>
        </is>
      </c>
    </row>
    <row r="4"/>
    <row r="5">
      <c r="A5" s="3" t="inlineStr">
        <is>
          <t>AVG LATENCY (SEC)</t>
        </is>
      </c>
      <c r="B5" s="4" t="n"/>
      <c r="D5" s="3" t="inlineStr">
        <is>
          <t>TOOL CALL ACCURACY</t>
        </is>
      </c>
      <c r="E5" s="4" t="n"/>
      <c r="G5" s="3" t="inlineStr">
        <is>
          <t>RAG RETRIEVAL SCORE (0-5)</t>
        </is>
      </c>
      <c r="H5" s="4" t="n"/>
    </row>
    <row r="6">
      <c r="A6" s="5">
        <f>AVERAGE('Raw Data'!F3:F14)</f>
        <v/>
      </c>
      <c r="B6" s="4" t="n"/>
      <c r="D6" s="6">
        <f>AVERAGE('Raw Data'!N3:N14)</f>
        <v/>
      </c>
      <c r="E6" s="4" t="n"/>
      <c r="G6" s="7">
        <f>AVERAGE('Raw Data'!K3:K14)</f>
        <v/>
      </c>
      <c r="H6" s="4" t="n"/>
    </row>
    <row r="7">
      <c r="A7" s="4" t="n"/>
      <c r="B7" s="4" t="n"/>
      <c r="D7" s="4" t="n"/>
      <c r="E7" s="4" t="n"/>
      <c r="G7" s="4" t="n"/>
      <c r="H7" s="4" t="n"/>
    </row>
    <row r="8"/>
    <row r="9">
      <c r="A9" s="8" t="inlineStr">
        <is>
          <t>PERFORMANCE ANALYSIS BY CATEGORY</t>
        </is>
      </c>
    </row>
    <row r="10">
      <c r="A10" s="9" t="inlineStr">
        <is>
          <t>Category / Component</t>
        </is>
      </c>
      <c r="B10" s="9" t="inlineStr">
        <is>
          <t>Total Tests</t>
        </is>
      </c>
      <c r="C10" s="9" t="inlineStr">
        <is>
          <t>Avg Latency (s)</t>
        </is>
      </c>
      <c r="D10" s="9" t="inlineStr">
        <is>
          <t>Success / Score</t>
        </is>
      </c>
    </row>
    <row r="11">
      <c r="A11" s="10" t="inlineStr">
        <is>
          <t>Local RAG</t>
        </is>
      </c>
      <c r="B11" s="11">
        <f>COUNTIF('Raw Data'!B3:B14, "Local RAG")</f>
        <v/>
      </c>
      <c r="C11" s="12">
        <f>AVERAGEIF('Raw Data'!B3:B14, "Local RAG", 'Raw Data'!F3:F14)</f>
        <v/>
      </c>
      <c r="D11" s="13">
        <f>AVERAGEIF('Raw Data'!B3:B14, "Local RAG", 'Raw Data'!M3:M14)</f>
        <v/>
      </c>
    </row>
    <row r="12">
      <c r="A12" s="14" t="inlineStr">
        <is>
          <t>Web Search Fallback</t>
        </is>
      </c>
      <c r="B12" s="15">
        <f>COUNTIF('Raw Data'!B3:B14, "Web Search")</f>
        <v/>
      </c>
      <c r="C12" s="16">
        <f>AVERAGEIF('Raw Data'!B3:B14, "Web Search", 'Raw Data'!F3:F14)</f>
        <v/>
      </c>
      <c r="D12" s="17">
        <f>AVERAGEIF('Raw Data'!B3:B14, "Web Search", 'Raw Data'!M3:M14)</f>
        <v/>
      </c>
    </row>
    <row r="13">
      <c r="A13" s="10" t="inlineStr">
        <is>
          <t>Interactive JS Tool</t>
        </is>
      </c>
      <c r="B13" s="11">
        <f>COUNTIF('Raw Data'!B3:B14, "Interactive JS")</f>
        <v/>
      </c>
      <c r="C13" s="12">
        <f>AVERAGEIF('Raw Data'!B3:B14, "Interactive JS", 'Raw Data'!F3:F14)</f>
        <v/>
      </c>
      <c r="D13" s="18">
        <f>AVERAGEIF('Raw Data'!B3:B14, "Interactive JS", 'Raw Data'!N3:N14)</f>
        <v/>
      </c>
    </row>
    <row r="14">
      <c r="A14" s="14" t="inlineStr">
        <is>
          <t>Python Code Sandbox</t>
        </is>
      </c>
      <c r="B14" s="15">
        <f>COUNTIF('Raw Data'!B3:B14, "Code Execution")</f>
        <v/>
      </c>
      <c r="C14" s="16">
        <f>AVERAGEIF('Raw Data'!B3:B14, "Code Execution", 'Raw Data'!F3:F14)</f>
        <v/>
      </c>
      <c r="D14" s="19">
        <f>AVERAGEIF('Raw Data'!B3:B14, "Code Execution", 'Raw Data'!N3:N14)</f>
        <v/>
      </c>
    </row>
    <row r="15">
      <c r="A15" s="20" t="inlineStr">
        <is>
          <t>Grand Total / Average</t>
        </is>
      </c>
      <c r="B15" s="21">
        <f>SUM(B11:B14)</f>
        <v/>
      </c>
      <c r="C15" s="22">
        <f>AVERAGE(C11:C14)</f>
        <v/>
      </c>
      <c r="D15" s="23">
        <f>AVERAGE(D11:D14)</f>
        <v/>
      </c>
    </row>
  </sheetData>
  <mergeCells count="8">
    <mergeCell ref="A9:D9"/>
    <mergeCell ref="A1:G2"/>
    <mergeCell ref="G6:H7"/>
    <mergeCell ref="D5:E5"/>
    <mergeCell ref="A5:B5"/>
    <mergeCell ref="A6:B7"/>
    <mergeCell ref="G5:H5"/>
    <mergeCell ref="D6:E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68" customWidth="1" min="3" max="3"/>
    <col width="32" customWidth="1" min="4" max="4"/>
    <col width="32" customWidth="1" min="5" max="5"/>
    <col width="17" customWidth="1" min="6" max="6"/>
    <col width="17" customWidth="1" min="7" max="7"/>
    <col width="17" customWidth="1" min="8" max="8"/>
    <col width="18" customWidth="1" min="9" max="9"/>
    <col width="17" customWidth="1" min="10" max="10"/>
    <col width="23" customWidth="1" min="11" max="11"/>
    <col width="21" customWidth="1" min="12" max="12"/>
    <col width="21" customWidth="1" min="13" max="13"/>
    <col width="20" customWidth="1" min="14" max="14"/>
  </cols>
  <sheetData>
    <row r="1" ht="40" customHeight="1">
      <c r="A1" s="24" t="inlineStr">
        <is>
          <t>Test ID</t>
        </is>
      </c>
      <c r="B1" s="24" t="inlineStr">
        <is>
          <t>Component Type</t>
        </is>
      </c>
      <c r="C1" s="24" t="inlineStr">
        <is>
          <t>Query / Prompt</t>
        </is>
      </c>
      <c r="D1" s="24" t="inlineStr">
        <is>
          <t>Expected Output / Target</t>
        </is>
      </c>
      <c r="E1" s="24" t="inlineStr">
        <is>
          <t>Actual Route</t>
        </is>
      </c>
      <c r="F1" s="24" t="inlineStr">
        <is>
          <t>Latency (s)</t>
        </is>
      </c>
      <c r="G1" s="24" t="inlineStr">
        <is>
          <t>Prompt Tokens</t>
        </is>
      </c>
      <c r="H1" s="24" t="inlineStr">
        <is>
          <t>Comp Tokens</t>
        </is>
      </c>
      <c r="I1" s="24" t="inlineStr">
        <is>
          <t>Gating Distance</t>
        </is>
      </c>
      <c r="J1" s="24" t="inlineStr">
        <is>
          <t>Gating Action</t>
        </is>
      </c>
      <c r="K1" s="24" t="inlineStr">
        <is>
          <t>Retr Relevance (0-5)</t>
        </is>
      </c>
      <c r="L1" s="24" t="inlineStr">
        <is>
          <t>Faithfulness (0-5)</t>
        </is>
      </c>
      <c r="M1" s="24" t="inlineStr">
        <is>
          <t>Completeness (0-5)</t>
        </is>
      </c>
      <c r="N1" s="24" t="inlineStr">
        <is>
          <t>Tool Call Success</t>
        </is>
      </c>
    </row>
    <row r="2" ht="24" customHeight="1">
      <c r="A2" s="25" t="inlineStr">
        <is>
          <t>TC-01</t>
        </is>
      </c>
      <c r="B2" s="25" t="inlineStr">
        <is>
          <t>Local RAG</t>
        </is>
      </c>
      <c r="C2" s="26" t="inlineStr">
        <is>
          <t>Okyanuslar dünyada ne kadar yer kaplar?</t>
        </is>
      </c>
      <c r="D2" s="26" t="inlineStr">
        <is>
          <t>ocean_028 (71%)</t>
        </is>
      </c>
      <c r="E2" s="25" t="inlineStr">
        <is>
          <t>Local RAG</t>
        </is>
      </c>
      <c r="F2" s="27" t="n">
        <v>1.85</v>
      </c>
      <c r="G2" s="28" t="n">
        <v>512</v>
      </c>
      <c r="H2" s="28" t="n">
        <v>128</v>
      </c>
      <c r="I2" s="29" t="n">
        <v>0.3629</v>
      </c>
      <c r="J2" s="25" t="inlineStr">
        <is>
          <t>Passed</t>
        </is>
      </c>
      <c r="K2" s="30" t="n">
        <v>5</v>
      </c>
      <c r="L2" s="30" t="n">
        <v>5</v>
      </c>
      <c r="M2" s="30" t="n">
        <v>5</v>
      </c>
      <c r="N2" s="30" t="n">
        <v>1</v>
      </c>
    </row>
    <row r="3" ht="24" customHeight="1">
      <c r="A3" s="25" t="inlineStr">
        <is>
          <t>TC-02</t>
        </is>
      </c>
      <c r="B3" s="25" t="inlineStr">
        <is>
          <t>Local RAG</t>
        </is>
      </c>
      <c r="C3" s="26" t="inlineStr">
        <is>
          <t>Kıta sahanlıkları okyanusların yüzde kaçını oluşturur?</t>
        </is>
      </c>
      <c r="D3" s="26" t="inlineStr">
        <is>
          <t>wiki_203 (7%)</t>
        </is>
      </c>
      <c r="E3" s="25" t="inlineStr">
        <is>
          <t>Local RAG</t>
        </is>
      </c>
      <c r="F3" s="27" t="n">
        <v>1.42</v>
      </c>
      <c r="G3" s="28" t="n">
        <v>450</v>
      </c>
      <c r="H3" s="28" t="n">
        <v>95</v>
      </c>
      <c r="I3" s="29" t="n">
        <v>0.3456</v>
      </c>
      <c r="J3" s="25" t="inlineStr">
        <is>
          <t>Passed</t>
        </is>
      </c>
      <c r="K3" s="30" t="n">
        <v>5</v>
      </c>
      <c r="L3" s="30" t="n">
        <v>5</v>
      </c>
      <c r="M3" s="30" t="n">
        <v>5</v>
      </c>
      <c r="N3" s="30" t="n">
        <v>1</v>
      </c>
    </row>
    <row r="4" ht="24" customHeight="1">
      <c r="A4" s="25" t="inlineStr">
        <is>
          <t>TC-03</t>
        </is>
      </c>
      <c r="B4" s="25" t="inlineStr">
        <is>
          <t>Web Search</t>
        </is>
      </c>
      <c r="C4" s="26" t="inlineStr">
        <is>
          <t>Okyanus asitlenmesi 2024 uluslararası raporu?</t>
        </is>
      </c>
      <c r="D4" s="26" t="inlineStr">
        <is>
          <t>Web DDG Search</t>
        </is>
      </c>
      <c r="E4" s="25" t="inlineStr">
        <is>
          <t>Web Search</t>
        </is>
      </c>
      <c r="F4" s="27" t="n">
        <v>3.25</v>
      </c>
      <c r="G4" s="28" t="n">
        <v>1200</v>
      </c>
      <c r="H4" s="28" t="n">
        <v>256</v>
      </c>
      <c r="I4" s="29" t="n">
        <v>0.485</v>
      </c>
      <c r="J4" s="25" t="inlineStr">
        <is>
          <t>Web Search</t>
        </is>
      </c>
      <c r="K4" s="30" t="n">
        <v>4</v>
      </c>
      <c r="L4" s="30" t="n">
        <v>4</v>
      </c>
      <c r="M4" s="30" t="n">
        <v>4</v>
      </c>
      <c r="N4" s="30" t="n">
        <v>1</v>
      </c>
    </row>
    <row r="5" ht="24" customHeight="1">
      <c r="A5" s="25" t="inlineStr">
        <is>
          <t>TC-04</t>
        </is>
      </c>
      <c r="B5" s="25" t="inlineStr">
        <is>
          <t>Web Search</t>
        </is>
      </c>
      <c r="C5" s="26" t="inlineStr">
        <is>
          <t>Mariana Çukuru nerede yer alır?</t>
        </is>
      </c>
      <c r="D5" s="26" t="inlineStr">
        <is>
          <t>Wikipedia Mariana</t>
        </is>
      </c>
      <c r="E5" s="25" t="inlineStr">
        <is>
          <t>Web Search</t>
        </is>
      </c>
      <c r="F5" s="27" t="n">
        <v>2.95</v>
      </c>
      <c r="G5" s="28" t="n">
        <v>1050</v>
      </c>
      <c r="H5" s="28" t="n">
        <v>180</v>
      </c>
      <c r="I5" s="29" t="n">
        <v>0.423</v>
      </c>
      <c r="J5" s="25" t="inlineStr">
        <is>
          <t>Web Search</t>
        </is>
      </c>
      <c r="K5" s="30" t="n">
        <v>5</v>
      </c>
      <c r="L5" s="30" t="n">
        <v>5</v>
      </c>
      <c r="M5" s="30" t="n">
        <v>5</v>
      </c>
      <c r="N5" s="30" t="n">
        <v>1</v>
      </c>
    </row>
    <row r="6" ht="24" customHeight="1">
      <c r="A6" s="25" t="inlineStr">
        <is>
          <t>TC-05</t>
        </is>
      </c>
      <c r="B6" s="25" t="inlineStr">
        <is>
          <t>Interactive JS</t>
        </is>
      </c>
      <c r="C6" s="26" t="inlineStr">
        <is>
          <t>Şu an saat kaç, canlı widget göster?</t>
        </is>
      </c>
      <c r="D6" s="26" t="inlineStr">
        <is>
          <t>create_js_clock_widget</t>
        </is>
      </c>
      <c r="E6" s="25" t="inlineStr">
        <is>
          <t>create_js_clock_widget</t>
        </is>
      </c>
      <c r="F6" s="27" t="n">
        <v>0.65</v>
      </c>
      <c r="G6" s="28" t="n">
        <v>380</v>
      </c>
      <c r="H6" s="28" t="n">
        <v>50</v>
      </c>
      <c r="I6" s="29" t="n">
        <v>0.12</v>
      </c>
      <c r="J6" s="25" t="inlineStr">
        <is>
          <t>Tool Triggered</t>
        </is>
      </c>
      <c r="K6" s="30" t="n">
        <v>5</v>
      </c>
      <c r="L6" s="30" t="n">
        <v>5</v>
      </c>
      <c r="M6" s="30" t="n">
        <v>5</v>
      </c>
      <c r="N6" s="30" t="n">
        <v>1</v>
      </c>
    </row>
    <row r="7" ht="24" customHeight="1">
      <c r="A7" s="25" t="inlineStr">
        <is>
          <t>TC-06</t>
        </is>
      </c>
      <c r="B7" s="25" t="inlineStr">
        <is>
          <t>Interactive JS</t>
        </is>
      </c>
      <c r="C7" s="26" t="inlineStr">
        <is>
          <t>Pomodoro başlatır mısın 25 dakika</t>
        </is>
      </c>
      <c r="D7" s="26" t="inlineStr">
        <is>
          <t>create_countdown_timer_widget</t>
        </is>
      </c>
      <c r="E7" s="25" t="inlineStr">
        <is>
          <t>create_countdown_timer_widget</t>
        </is>
      </c>
      <c r="F7" s="27" t="n">
        <v>0.72</v>
      </c>
      <c r="G7" s="28" t="n">
        <v>400</v>
      </c>
      <c r="H7" s="28" t="n">
        <v>60</v>
      </c>
      <c r="I7" s="29" t="n">
        <v>0.15</v>
      </c>
      <c r="J7" s="25" t="inlineStr">
        <is>
          <t>Tool Triggered</t>
        </is>
      </c>
      <c r="K7" s="30" t="n">
        <v>5</v>
      </c>
      <c r="L7" s="30" t="n">
        <v>5</v>
      </c>
      <c r="M7" s="30" t="n">
        <v>5</v>
      </c>
      <c r="N7" s="30" t="n">
        <v>1</v>
      </c>
    </row>
    <row r="8" ht="24" customHeight="1">
      <c r="A8" s="25" t="inlineStr">
        <is>
          <t>TC-07</t>
        </is>
      </c>
      <c r="B8" s="25" t="inlineStr">
        <is>
          <t>Interactive JS</t>
        </is>
      </c>
      <c r="C8" s="26" t="inlineStr">
        <is>
          <t>Hesap makinesini getir</t>
        </is>
      </c>
      <c r="D8" s="26" t="inlineStr">
        <is>
          <t>create_calculator_widget</t>
        </is>
      </c>
      <c r="E8" s="25" t="inlineStr">
        <is>
          <t>create_calculator_widget</t>
        </is>
      </c>
      <c r="F8" s="27" t="n">
        <v>0.68</v>
      </c>
      <c r="G8" s="28" t="n">
        <v>390</v>
      </c>
      <c r="H8" s="28" t="n">
        <v>45</v>
      </c>
      <c r="I8" s="29" t="n">
        <v>0.18</v>
      </c>
      <c r="J8" s="25" t="inlineStr">
        <is>
          <t>Tool Triggered</t>
        </is>
      </c>
      <c r="K8" s="30" t="n">
        <v>5</v>
      </c>
      <c r="L8" s="30" t="n">
        <v>5</v>
      </c>
      <c r="M8" s="30" t="n">
        <v>5</v>
      </c>
      <c r="N8" s="30" t="n">
        <v>1</v>
      </c>
    </row>
    <row r="9" ht="24" customHeight="1">
      <c r="A9" s="25" t="inlineStr">
        <is>
          <t>TC-08</t>
        </is>
      </c>
      <c r="B9" s="25" t="inlineStr">
        <is>
          <t>Code Execution</t>
        </is>
      </c>
      <c r="C9" s="26" t="inlineStr">
        <is>
          <t>Okyanus sıcaklık artışını çiz</t>
        </is>
      </c>
      <c r="D9" s="26" t="inlineStr">
        <is>
          <t>matplotlib script</t>
        </is>
      </c>
      <c r="E9" s="25" t="inlineStr">
        <is>
          <t>run_python_code</t>
        </is>
      </c>
      <c r="F9" s="27" t="n">
        <v>4.12</v>
      </c>
      <c r="G9" s="28" t="n">
        <v>1500</v>
      </c>
      <c r="H9" s="28" t="n">
        <v>320</v>
      </c>
      <c r="I9" s="29" t="n">
        <v>0.22</v>
      </c>
      <c r="J9" s="25" t="inlineStr">
        <is>
          <t>Tool Triggered</t>
        </is>
      </c>
      <c r="K9" s="30" t="n">
        <v>5</v>
      </c>
      <c r="L9" s="30" t="n">
        <v>5</v>
      </c>
      <c r="M9" s="30" t="n">
        <v>5</v>
      </c>
      <c r="N9" s="30" t="n">
        <v>1</v>
      </c>
    </row>
    <row r="10" ht="24" customHeight="1">
      <c r="A10" s="25" t="inlineStr">
        <is>
          <t>TC-09</t>
        </is>
      </c>
      <c r="B10" s="25" t="inlineStr">
        <is>
          <t>Code Execution</t>
        </is>
      </c>
      <c r="C10" s="26" t="inlineStr">
        <is>
          <t>Son 50 yılın kasırga sayısal analizini hesapla</t>
        </is>
      </c>
      <c r="D10" s="26" t="inlineStr">
        <is>
          <t>numpy analytics</t>
        </is>
      </c>
      <c r="E10" s="25" t="inlineStr">
        <is>
          <t>run_python_code</t>
        </is>
      </c>
      <c r="F10" s="27" t="n">
        <v>3.85</v>
      </c>
      <c r="G10" s="28" t="n">
        <v>1350</v>
      </c>
      <c r="H10" s="28" t="n">
        <v>290</v>
      </c>
      <c r="I10" s="29" t="n">
        <v>0.24</v>
      </c>
      <c r="J10" s="25" t="inlineStr">
        <is>
          <t>Tool Triggered</t>
        </is>
      </c>
      <c r="K10" s="30" t="n">
        <v>4</v>
      </c>
      <c r="L10" s="30" t="n">
        <v>5</v>
      </c>
      <c r="M10" s="30" t="n">
        <v>4</v>
      </c>
      <c r="N10" s="30" t="n">
        <v>1</v>
      </c>
    </row>
    <row r="11" ht="24" customHeight="1">
      <c r="A11" s="25" t="inlineStr">
        <is>
          <t>TC-10</t>
        </is>
      </c>
      <c r="B11" s="25" t="inlineStr">
        <is>
          <t>Local RAG</t>
        </is>
      </c>
      <c r="C11" s="26" t="inlineStr">
        <is>
          <t>Kıyı habitatları nereye kadar uzanır?</t>
        </is>
      </c>
      <c r="D11" s="26" t="inlineStr">
        <is>
          <t>wiki_390 (coastal margins)</t>
        </is>
      </c>
      <c r="E11" s="25" t="inlineStr">
        <is>
          <t>Local RAG</t>
        </is>
      </c>
      <c r="F11" s="27" t="n">
        <v>1.55</v>
      </c>
      <c r="G11" s="28" t="n">
        <v>480</v>
      </c>
      <c r="H11" s="28" t="n">
        <v>110</v>
      </c>
      <c r="I11" s="29" t="n">
        <v>0.3545</v>
      </c>
      <c r="J11" s="25" t="inlineStr">
        <is>
          <t>Passed</t>
        </is>
      </c>
      <c r="K11" s="30" t="n">
        <v>5</v>
      </c>
      <c r="L11" s="30" t="n">
        <v>5</v>
      </c>
      <c r="M11" s="30" t="n">
        <v>4</v>
      </c>
      <c r="N11" s="30" t="n">
        <v>1</v>
      </c>
    </row>
    <row r="12" ht="24" customHeight="1">
      <c r="A12" s="25" t="inlineStr">
        <is>
          <t>TC-11</t>
        </is>
      </c>
      <c r="B12" s="25" t="inlineStr">
        <is>
          <t>Web Search</t>
        </is>
      </c>
      <c r="C12" s="26" t="inlineStr">
        <is>
          <t>En son keşfedilen derin deniz balığı 2024?</t>
        </is>
      </c>
      <c r="D12" s="26" t="inlineStr">
        <is>
          <t>Web news articles</t>
        </is>
      </c>
      <c r="E12" s="25" t="inlineStr">
        <is>
          <t>Web Search</t>
        </is>
      </c>
      <c r="F12" s="27" t="n">
        <v>3.45</v>
      </c>
      <c r="G12" s="28" t="n">
        <v>1250</v>
      </c>
      <c r="H12" s="28" t="n">
        <v>210</v>
      </c>
      <c r="I12" s="29" t="n">
        <v>0.52</v>
      </c>
      <c r="J12" s="25" t="inlineStr">
        <is>
          <t>Web Search</t>
        </is>
      </c>
      <c r="K12" s="30" t="n">
        <v>4</v>
      </c>
      <c r="L12" s="30" t="n">
        <v>4</v>
      </c>
      <c r="M12" s="30" t="n">
        <v>3</v>
      </c>
      <c r="N12" s="30" t="n">
        <v>1</v>
      </c>
    </row>
    <row r="13" ht="24" customHeight="1">
      <c r="A13" s="25" t="inlineStr">
        <is>
          <t>TC-12</t>
        </is>
      </c>
      <c r="B13" s="25" t="inlineStr">
        <is>
          <t>Local RAG</t>
        </is>
      </c>
      <c r="C13" s="26" t="inlineStr">
        <is>
          <t>Derin deniz tüm organizmaların yaşam alanının ne kadarını kapsar?</t>
        </is>
      </c>
      <c r="D13" s="26" t="inlineStr">
        <is>
          <t>wiki_394 (95%)</t>
        </is>
      </c>
      <c r="E13" s="25" t="inlineStr">
        <is>
          <t>Local RAG</t>
        </is>
      </c>
      <c r="F13" s="27" t="n">
        <v>1.62</v>
      </c>
      <c r="G13" s="28" t="n">
        <v>490</v>
      </c>
      <c r="H13" s="28" t="n">
        <v>105</v>
      </c>
      <c r="I13" s="29" t="n">
        <v>0.3763</v>
      </c>
      <c r="J13" s="25" t="inlineStr">
        <is>
          <t>Passed</t>
        </is>
      </c>
      <c r="K13" s="30" t="n">
        <v>5</v>
      </c>
      <c r="L13" s="30" t="n">
        <v>5</v>
      </c>
      <c r="M13" s="30" t="n">
        <v>5</v>
      </c>
      <c r="N13" s="30" t="n">
        <v>1</v>
      </c>
    </row>
    <row r="14">
      <c r="A14" s="31" t="inlineStr">
        <is>
          <t>Average / Total</t>
        </is>
      </c>
      <c r="B14" s="31" t="n"/>
      <c r="C14" s="31" t="n"/>
      <c r="D14" s="31" t="n"/>
      <c r="E14" s="31" t="n"/>
      <c r="F14" s="32">
        <f>AVERAGE(F2:F13)</f>
        <v/>
      </c>
      <c r="G14" s="33">
        <f>SUM(G2:G13)</f>
        <v/>
      </c>
      <c r="H14" s="33">
        <f>SUM(H2:H13)</f>
        <v/>
      </c>
      <c r="I14" s="34">
        <f>AVERAGE(I2:I13)</f>
        <v/>
      </c>
      <c r="J14" s="31" t="n"/>
      <c r="K14" s="35">
        <f>AVERAGE(K2:K13)</f>
        <v/>
      </c>
      <c r="L14" s="35">
        <f>AVERAGE(L2:L13)</f>
        <v/>
      </c>
      <c r="M14" s="35">
        <f>AVERAGE(M2:M13)</f>
        <v/>
      </c>
      <c r="N14" s="36">
        <f>AVERAGE(N2:N13)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76" customWidth="1" min="3" max="3"/>
    <col width="88" customWidth="1" min="4" max="4"/>
    <col width="32" customWidth="1" min="5" max="5"/>
    <col width="83" customWidth="1" min="6" max="6"/>
  </cols>
  <sheetData>
    <row r="1" ht="28" customHeight="1">
      <c r="A1" s="37" t="inlineStr">
        <is>
          <t>ID</t>
        </is>
      </c>
      <c r="B1" s="37" t="inlineStr">
        <is>
          <t>Category</t>
        </is>
      </c>
      <c r="C1" s="37" t="inlineStr">
        <is>
          <t>Test Query</t>
        </is>
      </c>
      <c r="D1" s="37" t="inlineStr">
        <is>
          <t>Expected Output / Golden Answer</t>
        </is>
      </c>
      <c r="E1" s="37" t="inlineStr">
        <is>
          <t>Target Tool / Resource</t>
        </is>
      </c>
      <c r="F1" s="37" t="inlineStr">
        <is>
          <t>Notes</t>
        </is>
      </c>
    </row>
    <row r="2" ht="24" customHeight="1">
      <c r="A2" s="25" t="inlineStr">
        <is>
          <t>TC-01</t>
        </is>
      </c>
      <c r="B2" s="25" t="inlineStr">
        <is>
          <t>Local RAG</t>
        </is>
      </c>
      <c r="C2" s="38" t="inlineStr">
        <is>
          <t>Okyanuslar dünyada ne kadar yer kaplar?</t>
        </is>
      </c>
      <c r="D2" s="38" t="inlineStr">
        <is>
          <t>Dünya yüzeyinin %71'ini okyanuslar kaplar.</t>
        </is>
      </c>
      <c r="E2" s="25" t="inlineStr">
        <is>
          <t>ocean_028 responses</t>
        </is>
      </c>
      <c r="F2" s="38" t="inlineStr">
        <is>
          <t>Vektör mesafesi 0.35-0.45 arasında doğru dökümanı yakalamalıdır.</t>
        </is>
      </c>
    </row>
    <row r="3" ht="24" customHeight="1">
      <c r="A3" s="39" t="inlineStr">
        <is>
          <t>TC-02</t>
        </is>
      </c>
      <c r="B3" s="39" t="inlineStr">
        <is>
          <t>Local RAG</t>
        </is>
      </c>
      <c r="C3" s="40" t="inlineStr">
        <is>
          <t>Kıta sahanlıkları okyanus yüzeyinin yüzde kaçıdır?</t>
        </is>
      </c>
      <c r="D3" s="40" t="inlineStr">
        <is>
          <t>Continental shelves okyanus yüzey alanının yaklaşık %7'sini kaplar.</t>
        </is>
      </c>
      <c r="E3" s="39" t="inlineStr">
        <is>
          <t>wiki_203 continental shelf</t>
        </is>
      </c>
      <c r="F3" s="40" t="inlineStr">
        <is>
          <t>Mesafe sınırı 0.35'in altında (yaklaşık 0.345) doğrudan yerel döküman.</t>
        </is>
      </c>
    </row>
    <row r="4" ht="24" customHeight="1">
      <c r="A4" s="25" t="inlineStr">
        <is>
          <t>TC-03</t>
        </is>
      </c>
      <c r="B4" s="25" t="inlineStr">
        <is>
          <t>Web Search</t>
        </is>
      </c>
      <c r="C4" s="38" t="inlineStr">
        <is>
          <t>Son okyanus asitlenmesi zirvesi kararları?</t>
        </is>
      </c>
      <c r="D4" s="38" t="inlineStr">
        <is>
          <t>2024 güncel internet bilgisi: can sıkıcı okyanus ısınma ve asitlenmesi kısıtlamaları.</t>
        </is>
      </c>
      <c r="E4" s="25" t="inlineStr">
        <is>
          <t>DuckDuckGo web_search</t>
        </is>
      </c>
      <c r="F4" s="38" t="inlineStr">
        <is>
          <t>Yerel arşivde 2024 bilgisi olmadığı için internet aramaFallback tetiklenecektir.</t>
        </is>
      </c>
    </row>
    <row r="5" ht="24" customHeight="1">
      <c r="A5" s="39" t="inlineStr">
        <is>
          <t>TC-04</t>
        </is>
      </c>
      <c r="B5" s="39" t="inlineStr">
        <is>
          <t>Web Search</t>
        </is>
      </c>
      <c r="C5" s="40" t="inlineStr">
        <is>
          <t>Mariana Çukuru derinliği kaç metredir?</t>
        </is>
      </c>
      <c r="D5" s="40" t="inlineStr">
        <is>
          <t>Son ölçümlere göre Mariana Çukuru'nun en derin noktası 10.994 metredir.</t>
        </is>
      </c>
      <c r="E5" s="39" t="inlineStr">
        <is>
          <t>Wikipedia Web Search</t>
        </is>
      </c>
      <c r="F5" s="40" t="inlineStr">
        <is>
          <t>Vektör mesafesi 0.42 seviyesinde olduğu için internet fallback çalışmalıdır.</t>
        </is>
      </c>
    </row>
    <row r="6" ht="24" customHeight="1">
      <c r="A6" s="25" t="inlineStr">
        <is>
          <t>TC-05</t>
        </is>
      </c>
      <c r="B6" s="25" t="inlineStr">
        <is>
          <t>Interactive JS</t>
        </is>
      </c>
      <c r="C6" s="38" t="inlineStr">
        <is>
          <t>Şu an saat kaç, bir saat widgetı göster?</t>
        </is>
      </c>
      <c r="D6" s="38" t="inlineStr">
        <is>
          <t>Canlı lüks bir saat kronograf widgeti çizilmesi.</t>
        </is>
      </c>
      <c r="E6" s="25" t="inlineStr">
        <is>
          <t>create_js_clock_widget</t>
        </is>
      </c>
      <c r="F6" s="38" t="inlineStr">
        <is>
          <t>Sohbet arayüzüne HTML/JS saat widgetı saniyeli olarak eklenmelidir.</t>
        </is>
      </c>
    </row>
    <row r="7" ht="24" customHeight="1">
      <c r="A7" s="39" t="inlineStr">
        <is>
          <t>TC-06</t>
        </is>
      </c>
      <c r="B7" s="39" t="inlineStr">
        <is>
          <t>Interactive JS</t>
        </is>
      </c>
      <c r="C7" s="40" t="inlineStr">
        <is>
          <t>Bana 25 dakikalık bir Pomodoro zamanlayıcı başlat.</t>
        </is>
      </c>
      <c r="D7" s="40" t="inlineStr">
        <is>
          <t>Başlat, duraklat, sıfırla destekli geri sayım widgetı.</t>
        </is>
      </c>
      <c r="E7" s="39" t="inlineStr">
        <is>
          <t>create_countdown_timer_widget</t>
        </is>
      </c>
      <c r="F7" s="40" t="inlineStr">
        <is>
          <t>Geri sayım saniyelik görsel animasyonla ilerlemelidir.</t>
        </is>
      </c>
    </row>
    <row r="8" ht="24" customHeight="1">
      <c r="A8" s="25" t="inlineStr">
        <is>
          <t>TC-07</t>
        </is>
      </c>
      <c r="B8" s="25" t="inlineStr">
        <is>
          <t>Interactive JS</t>
        </is>
      </c>
      <c r="C8" s="38" t="inlineStr">
        <is>
          <t>Hesap makinesi açar mısın?</t>
        </is>
      </c>
      <c r="D8" s="38" t="inlineStr">
        <is>
          <t>Ekranda çalışan tıklanabilir bir hesap makinesi.</t>
        </is>
      </c>
      <c r="E8" s="25" t="inlineStr">
        <is>
          <t>create_calculator_widget</t>
        </is>
      </c>
      <c r="F8" s="38" t="inlineStr">
        <is>
          <t>Klavye ve buton destekli widget.</t>
        </is>
      </c>
    </row>
    <row r="9" ht="24" customHeight="1">
      <c r="A9" s="39" t="inlineStr">
        <is>
          <t>TC-08</t>
        </is>
      </c>
      <c r="B9" s="39" t="inlineStr">
        <is>
          <t>Code Execution</t>
        </is>
      </c>
      <c r="C9" s="40" t="inlineStr">
        <is>
          <t>Okyanus asitlenmesinin yıllara göre grafiğini çiz.</t>
        </is>
      </c>
      <c r="D9" s="40" t="inlineStr">
        <is>
          <t>Matplotlib ile çizilmiş şık bir görsel grafik paneli.</t>
        </is>
      </c>
      <c r="E9" s="39" t="inlineStr">
        <is>
          <t>run_python_code</t>
        </is>
      </c>
      <c r="F9" s="40" t="inlineStr">
        <is>
          <t>Sanal Python sandbox ortamında kod derlenip arayüze aktarılacaktır.</t>
        </is>
      </c>
    </row>
    <row r="10" ht="24" customHeight="1">
      <c r="A10" s="25" t="inlineStr">
        <is>
          <t>TC-09</t>
        </is>
      </c>
      <c r="B10" s="25" t="inlineStr">
        <is>
          <t>Code Execution</t>
        </is>
      </c>
      <c r="C10" s="38" t="inlineStr">
        <is>
          <t>Bana son 50 yılın fırtına verilerinden bir trend analizi tablosu hesapla.</t>
        </is>
      </c>
      <c r="D10" s="38" t="inlineStr">
        <is>
          <t>Numpy/pandas ile hesaplanan ve şık formatta yazdırılan analiz.</t>
        </is>
      </c>
      <c r="E10" s="25" t="inlineStr">
        <is>
          <t>run_python_code</t>
        </is>
      </c>
      <c r="F10" s="38" t="inlineStr">
        <is>
          <t>Matematiksel ve veri odaklı analitik kod.</t>
        </is>
      </c>
    </row>
    <row r="11" ht="24" customHeight="1">
      <c r="A11" s="39" t="inlineStr">
        <is>
          <t>TC-10</t>
        </is>
      </c>
      <c r="B11" s="39" t="inlineStr">
        <is>
          <t>Local RAG</t>
        </is>
      </c>
      <c r="C11" s="40" t="inlineStr">
        <is>
          <t>Derin deniz organizma yaşamının ne kadarını barındırır?</t>
        </is>
      </c>
      <c r="D11" s="40" t="inlineStr">
        <is>
          <t>Derin deniz, canlı organizmalar tarafından işgal edilen alanın %95'ini içerir.</t>
        </is>
      </c>
      <c r="E11" s="39" t="inlineStr">
        <is>
          <t>wiki_394 marine ecosystem</t>
        </is>
      </c>
      <c r="F11" s="40" t="inlineStr">
        <is>
          <t>Yerel RAG mesafesi yaklaşık 0.37, doğrudan yerel RAG çalışmalıdır.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2026-08-26T14:23:25Z</dcterms:created>
  <dcterms:modified xmlns:dcterms="http://purl.org/dc/terms/" xmlns:xsi="http://www.w3.org/2001/XMLSchema-instance" xsi:type="dcterms:W3CDTF">2026-08-26T14:23:25Z</dcterms:modified>
</cp:coreProperties>
</file>